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CTC\TKVM cơ bản\Final2\"/>
    </mc:Choice>
  </mc:AlternateContent>
  <xr:revisionPtr revIDLastSave="0" documentId="13_ncr:1_{705EF663-1C0B-416A-BA25-97725F29BF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pl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7" authorId="0" shapeId="0" xr:uid="{00000000-0006-0000-0000-000001000000}">
      <text>
        <r>
          <rPr>
            <sz val="10"/>
            <rFont val="Arial"/>
            <family val="2"/>
          </rPr>
          <t>Priority values are a proposal based on each test's scope. Adjust if needed.</t>
        </r>
      </text>
    </comment>
    <comment ref="H7" authorId="0" shapeId="0" xr:uid="{00000000-0006-0000-0000-000002000000}">
      <text>
        <r>
          <rPr>
            <sz val="10"/>
            <rFont val="Arial"/>
            <family val="2"/>
          </rPr>
          <t>Passed / Failed / NY (not yet run).
B2:B4 count this column automatically.
All items are NY until the simulation logs are checked.</t>
        </r>
      </text>
    </comment>
  </commentList>
</comments>
</file>

<file path=xl/sharedStrings.xml><?xml version="1.0" encoding="utf-8"?>
<sst xmlns="http://schemas.openxmlformats.org/spreadsheetml/2006/main" count="97" uniqueCount="63">
  <si>
    <t>Total Items</t>
  </si>
  <si>
    <t>Pass Items</t>
  </si>
  <si>
    <t>run a testcase:</t>
  </si>
  <si>
    <t>make TESTNAME=&lt;testname&gt; all</t>
  </si>
  <si>
    <t>Fail Items</t>
  </si>
  <si>
    <t>run a testcase with coverage:</t>
  </si>
  <si>
    <t>make TESTNAME=&lt;testname&gt; all_cov</t>
  </si>
  <si>
    <t>NY Items</t>
  </si>
  <si>
    <t>coverage report:</t>
  </si>
  <si>
    <t>make gen_cov  /  make gen_html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</si>
  <si>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</si>
  <si>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</si>
  <si>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</si>
  <si>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</si>
  <si>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</si>
  <si>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</si>
  <si>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</si>
  <si>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</si>
  <si>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</si>
  <si>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</si>
  <si>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</si>
  <si>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</si>
  <si>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t>reg_init</t>
  </si>
  <si>
    <t>High</t>
  </si>
  <si>
    <t>Directed</t>
  </si>
  <si>
    <t>Lương Quang Vinh</t>
  </si>
  <si>
    <t>Read and Write value check</t>
  </si>
  <si>
    <t>reg_rw</t>
  </si>
  <si>
    <t>APB interface test</t>
  </si>
  <si>
    <t>Write strobe (pstrb)</t>
  </si>
  <si>
    <t>strobe</t>
  </si>
  <si>
    <t>Medium</t>
  </si>
  <si>
    <t>Un-aligned address access</t>
  </si>
  <si>
    <t>address</t>
  </si>
  <si>
    <t>Slave error response (pslverr)</t>
  </si>
  <si>
    <t>reg_slverr</t>
  </si>
  <si>
    <t>Counter test</t>
  </si>
  <si>
    <t>Count in default mode</t>
  </si>
  <si>
    <t>cnt_def</t>
  </si>
  <si>
    <t>Count with div_val 0 -&gt; 8, TDR0 -&gt; TDR1 carry</t>
  </si>
  <si>
    <t>cnt_ctrl</t>
  </si>
  <si>
    <t>Interrupt test</t>
  </si>
  <si>
    <t>Compare match interrupt</t>
  </si>
  <si>
    <t>interrupt</t>
  </si>
  <si>
    <t>Debug mode test</t>
  </si>
  <si>
    <t>Halt in debug mode</t>
  </si>
  <si>
    <t>debug_mode</t>
  </si>
  <si>
    <t>Coverage test</t>
  </si>
  <si>
    <t>Toggle reserved bits</t>
  </si>
  <si>
    <t>toggle_cov</t>
  </si>
  <si>
    <t>Low</t>
  </si>
  <si>
    <t>force/release on internal RTL signals, used to toggle reserved bits for toggle coverage.</t>
  </si>
  <si>
    <t>Passed</t>
  </si>
  <si>
    <r>
      <t xml:space="preserve">1. Wait for reset and clock stable
2. Read TCR, TDR0, TDR1, TCMP0, TCMP1, TIER, TISR, THCSR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 Check value matching with default value
TCR = 0x0000_0100
TDR0 = 0x0000_0000; TDR1 = 0x0000_0000
TCMP0 = 0xFFFF_FFFF; TCMP1 = 0xFFFF_FFFF
TIER = 0x0000_0000; TISR = 0x0000_0000; THCSR = 0x0000_0000</t>
    </r>
  </si>
  <si>
    <r>
      <t xml:space="preserve">1. Wait for reset and clock stable
2. Data set D = {0x0000_0000, 0xFFFF_FFFF, 0x5555_5555, 0xAAAA_AAAA, 0x5AA5_A55A}
3. TISR: write each value of D, read back (1)
4. TDR0, TDR1: write each value of D, then TCR = 0x1 -&gt; TCR = 0x0 (timer_en H-&gt;L), read back (2)
5. TCMP0, TCMP1, TIER, THCSR: write each value of D, read back (3)
6. TCR (timer_en = 0): write 0x0, 0xFFFF_FFFE, 0x5555_5554, 0xAAAA_AAAA, 0x5AA5_A55A, then 0x0, 0x802, 0x902, 0x702, read back after each write (4)
7. TCR (0x5555_5555 sets timer_en = 1): write 0x0, 0xFFFF_FFFF, 0x5555_5555, 0xAAAA_AAAB, 0x5AA5_A55B, then 0x0, 0x803, 0x903, 0x703, read back after each write (5)
8. Write TCR = 0x1 (timer keeps running), write each value of D to TDR0 then to TDR1, read back after each write (6)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TISR = 0x0 for every value
(2) TDR0 = TDR1 = 0x0 (counter cleared when timer_en goes H-&gt;L)
(3) TCMP0/TCMP1 = written value; TIER/THCSR = bit 0 of written value (0x0, 0x1, 0x1, 0x0, 0x0)
(4) TCR = 0x000, 0x000, 0x500, 0x500, 0x502, then 0x000, 0x802, 0x802, 0x702
(5) TCR = 0x000, 0x000, 0x501, 0x501, 0x501, then 0x501, 0x501, 0x501, 0x501
(4)(5): a write with div_val &gt; 8, or changing div_val/div_en while timer_en = 1, is not applied
(6) TDR0 = written value + 3 (counter running): 0x0000_0003, 0x0000_0002, 0x5555_5558, 0xAAAA_AAAD, 0x5AA5_A55D; TDR1 = written value</t>
    </r>
  </si>
  <si>
    <r>
      <t xml:space="preserve">1. Wait for reset and clock stable
2. For TDR0, TDR1, TCR, TCMP0, TCMP1, TIER, TISR, THCSR (in this order): write with the pstrb/data pairs below, read back after each write
pstrb/data: 1111/0xFFFF_FFFF, 0001/0xAAAA_AAAA, 0010/0x5555_5555, 0100/0xA5A5_A5A5, 1000/0x5A5A_5A5A, 0011/0xAA55_AA55, 1100/0x55AA_55AA, 0110/0xA55A_A55A, 1001/0x5AA5_5AA5
3. After the TCR sequence: write TCR = 0x5AA5_FFFF with pstrb = 0000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only the bytes selected by pstrb are updated
TDR0/TDR1/TCMP0/TCMP1 = 0xFFFF_FFFF, 0xFFFF_FFAA, 0xFFFF_55AA, 0xFFA5_55AA, 0x5AA5_55AA, 0x5AA5_AA55, 0x55AA_AA55, 0x555A_A555, 0x5A5A_A5A5
TCR = 0x100, 0x102, 0x502, 0x502, 0x502, 0x502, 0x502, 0x502, 0x501
TIER/THCSR = 0x1, 0x0, 0x0, 0x0, 0x0, 0x1, 0x1, 0x1, 0x1
TISR = 0x0 for every write</t>
    </r>
  </si>
  <si>
    <r>
      <t xml:space="preserve">1. Wait for reset and clock stable
2. Write TDR0 = 0x3333_3333, read back (1)
3. For offset = 1, 2, 3: write 0x4444_4444 to ADDR_TDR0 + offset, read ADDR_TDR0 + offset (2), read TDR0 (3)
4. Write 0xFFFF_FFFF to address 0xFFF and 0x000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TDR0 = 0x3333_3333
(2) Read data = 0x0000_0000
(3) TDR0 = 0x3333_3333 (not overwritten)</t>
    </r>
  </si>
  <si>
    <r>
      <t xml:space="preserve">1. Wait for reset and clock stable
2. Write TCR = 0x1, then TCR = 0x3 (div_en changed while timer_en = 1) (1)
3. Write TCR = 0x0, 0x2, then TCR = 0x902 (div_val = 9, prohibited value) (2)
4. Write TCR = 0x0, 0x2, 0x3, then TCR = 0x403 (div_val changed while timer_en = 1) (3)
5. Drive psel = 0, pwrite = 1, penable = 1, then pwrite = 0 after #1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 test_bench.pslverr = 1 when checked right after the write task of (1), (2), (3) returns</t>
    </r>
  </si>
  <si>
    <r>
      <t xml:space="preserve">1. Wait for reset and clock stable
2. Write TCR = 0x1 (timer_en = 1, div_en = 0)
3. Wait 10 clk, read TDR0, TDR1 (1)
4. Wait 100 clk, read TDR0, TDR1 (2)
5. Write TCR = 0x0 (timer_en = 0), read TDR0, TDR1 (3)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TDR0 = 0x0000_0010, TDR1 = 0x0000_0000
(2) TDR0 = 0x0000_007E, TDR1 = 0x0000_0000
(3) TDR0 = 0x0000_0000, TDR1 = 0x0000_0000 (counter cleared when timer_en = 0)</t>
    </r>
  </si>
  <si>
    <r>
      <t xml:space="preserve">1. Wait for reset and clock stable
2. For div_val = 0 to 8:
    - Write TCR with the previous div_val and timer_en = 0 (skipped for div_val = 0)
    - Write TCR = 0x{div_val}02 (div_en = 1), read back (1)
    - Write TCR = 0x{div_val}03 (timer_en = 1), read back (2)
    - Wait N clk, read TDR0, TDR1 (3)
3. Write TCR = 0x802, 0x102, 0x100, 0x101, read back (4)
4. Write TDR0 = 0xFFFF_FFF0, read back (5); write TDR1 = 0x0000_0100, read back (6)
5. Wait 100 clk, read TDR0, TDR1 (7)
6. Write TCR = 0x902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
(1) TCR = 0x{div_val}02    (2) TCR = 0x{div_val}03
(3) TDR1 = 0x0 and
    div_val = 0 / 1 / 2 / 3 / 4, N = 100: TDR0 = 0x6F / 0x37 / 0x1B / 0x0D / 0x06
    div_val = 5 / 6 / 7 / 8, N = 500 / 1000 / 1500 / 2000: TDR0 = 0x0F / 0x0F / 0x0B / 0x07
(4) TCR = 0x0000_0101
(5) TDR0 = 0xFFFF_FFF3    (6) TDR1 = 0x0000_0100
(7) TDR0 = 0x0000_0066, TDR1 = 0x0000_0101 (carry from TDR0 to TDR1)</t>
    </r>
  </si>
  <si>
    <r>
      <t xml:space="preserve">1. Wait for reset and clock stable
2. Write TISR = 0x1, TIER = 0x1, TCMP0 = 0x64, TCMP1 = 0x0
3. Write TCR = 0x1, wait 100 clk, read TDR0, check tim_int (1)
4. Write TISR = 0x1, check tim_int (2)
5. Write TCR = 0x0, TCMP0 = 0xC8, TCMP1 = 0x0
6. Write TCR = 0x1, wait 200 clk, read TDR0, check tim_int (3)
7. Write TIER = 0x0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tim_int = 1
(2) tim_int = 0 (write 1 to TISR clears the interrupt)
(3) tim_int = 1</t>
    </r>
  </si>
  <si>
    <r>
      <t xml:space="preserve">1. Wait for reset and clock stable
2. Write TCR = 0x1, wait 93 clk
3. Write THCSR = 0x1 and drive dbg_mode = 1
4. Read TDR0 (1); wait 10 clk, read TDR0 (2)
5. Write THCSR = 0x0 and drive dbg_mode = 0
6. Wait 6 clk, read TDR0 (3)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TDR0 = 0x0000_0065
(2) TDR0 = 0x0000_0065 (counter holds while halted)
(3) TDR0 = 0x0000_0071 (counter resumes)</t>
    </r>
  </si>
  <si>
    <r>
      <t xml:space="preserve">1. Wait for reset and clock stable
2. Force u_top.address, u_reg.addr, u_reg.tcr_tmp, u_reg.tcr, u_reg.tier, u_reg.tisr, u_reg.thcsr_tmp, u_reg.thcsr = 0xFFFF_FFFF, wait 2 clk
3. Force the same signals = 0x0000_0000, wait 2 clk
4. Release the signals, wait 2 clk
5. Assert and release reset
6. Read TCR, TIER, TISR, THCSR (1)
7. Write TDR0 = 0x1234_5678, read back (2)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charset val="1"/>
      </rPr>
      <t xml:space="preserve">
(1) TCR = 0x0000_0100; TIER = TISR = THCSR = 0x0000_0000
(2) TDR0 = 0x1234_5678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</si>
</sst>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0"/>
      <name val="Arial"/>
      <family val="2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D966"/>
      </patternFill>
    </fill>
    <fill>
      <patternFill patternType="solid">
        <fgColor theme="7" tint="0.39988402966399123"/>
        <bgColor rgb="FFFFE598"/>
      </patternFill>
    </fill>
    <fill>
      <patternFill patternType="solid">
        <fgColor theme="4"/>
        <bgColor rgb="FF969696"/>
      </patternFill>
    </fill>
    <fill>
      <patternFill patternType="solid">
        <fgColor rgb="FFC5E0B3"/>
        <bgColor rgb="FFCCFFCC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3" fillId="6" borderId="2" xfId="0" applyFont="1" applyFill="1" applyBorder="1"/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zoomScale="85" zoomScaleNormal="85" workbookViewId="0">
      <pane ySplit="7" topLeftCell="A8" activePane="bottomLeft" state="frozen"/>
      <selection pane="bottomLeft" activeCell="J23" sqref="J23"/>
    </sheetView>
  </sheetViews>
  <sheetFormatPr defaultColWidth="14.42578125" defaultRowHeight="15" x14ac:dyDescent="0.25"/>
  <cols>
    <col min="1" max="1" width="10.140625" customWidth="1"/>
    <col min="2" max="2" width="25" customWidth="1"/>
    <col min="3" max="3" width="90" customWidth="1"/>
    <col min="4" max="4" width="30.140625" customWidth="1"/>
    <col min="5" max="5" width="19.7109375" customWidth="1"/>
    <col min="6" max="6" width="11.7109375" customWidth="1"/>
    <col min="7" max="7" width="25.7109375" customWidth="1"/>
    <col min="8" max="8" width="8.7109375" customWidth="1"/>
    <col min="9" max="9" width="12.85546875" customWidth="1"/>
    <col min="10" max="10" width="57.85546875" customWidth="1"/>
    <col min="11" max="26" width="8.7109375" customWidth="1"/>
  </cols>
  <sheetData>
    <row r="1" spans="1:10" ht="14.25" customHeight="1" x14ac:dyDescent="0.25">
      <c r="A1" s="2" t="s">
        <v>0</v>
      </c>
      <c r="B1" s="3">
        <f>COUNTA(D8:D200)</f>
        <v>10</v>
      </c>
    </row>
    <row r="2" spans="1:10" ht="14.25" customHeight="1" x14ac:dyDescent="0.25">
      <c r="A2" s="2" t="s">
        <v>1</v>
      </c>
      <c r="B2" s="3">
        <f>COUNTIF(H8:H200,"Passed")</f>
        <v>10</v>
      </c>
      <c r="D2" s="4" t="s">
        <v>2</v>
      </c>
      <c r="E2" s="1" t="s">
        <v>3</v>
      </c>
      <c r="F2" s="1"/>
      <c r="G2" s="1"/>
    </row>
    <row r="3" spans="1:10" ht="14.25" customHeight="1" x14ac:dyDescent="0.25">
      <c r="A3" s="2" t="s">
        <v>4</v>
      </c>
      <c r="B3" s="3">
        <f>COUNTIF(H8:H200,"Failed")</f>
        <v>0</v>
      </c>
      <c r="D3" s="4" t="s">
        <v>5</v>
      </c>
      <c r="E3" s="1" t="s">
        <v>6</v>
      </c>
      <c r="F3" s="1"/>
      <c r="G3" s="1"/>
    </row>
    <row r="4" spans="1:10" ht="14.25" customHeight="1" x14ac:dyDescent="0.25">
      <c r="A4" s="2" t="s">
        <v>7</v>
      </c>
      <c r="B4" s="3">
        <f>COUNTIF(H8:H200,"NY")</f>
        <v>0</v>
      </c>
      <c r="D4" s="4" t="s">
        <v>8</v>
      </c>
      <c r="E4" s="1" t="s">
        <v>9</v>
      </c>
      <c r="F4" s="1"/>
      <c r="G4" s="1"/>
    </row>
    <row r="5" spans="1:10" ht="14.25" customHeight="1" x14ac:dyDescent="0.25"/>
    <row r="6" spans="1:10" ht="14.25" customHeight="1" x14ac:dyDescent="0.25"/>
    <row r="7" spans="1:10" ht="14.25" customHeigh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</row>
    <row r="8" spans="1:10" ht="14.25" customHeight="1" x14ac:dyDescent="0.25">
      <c r="A8" s="6">
        <v>1</v>
      </c>
      <c r="B8" s="6" t="s">
        <v>20</v>
      </c>
      <c r="C8" s="6"/>
      <c r="D8" s="6"/>
      <c r="E8" s="6"/>
      <c r="F8" s="6"/>
      <c r="G8" s="6"/>
      <c r="H8" s="6"/>
      <c r="I8" s="6"/>
      <c r="J8" s="6"/>
    </row>
    <row r="9" spans="1:10" ht="104.25" customHeight="1" x14ac:dyDescent="0.25">
      <c r="A9" s="7">
        <v>1.1000000000000001</v>
      </c>
      <c r="B9" s="8" t="s">
        <v>21</v>
      </c>
      <c r="C9" s="10" t="s">
        <v>53</v>
      </c>
      <c r="D9" s="7" t="s">
        <v>22</v>
      </c>
      <c r="E9" s="7" t="s">
        <v>23</v>
      </c>
      <c r="F9" s="7" t="s">
        <v>24</v>
      </c>
      <c r="G9" s="7" t="s">
        <v>25</v>
      </c>
      <c r="H9" s="9" t="s">
        <v>52</v>
      </c>
      <c r="I9" s="7"/>
      <c r="J9" s="8"/>
    </row>
    <row r="10" spans="1:10" ht="300" x14ac:dyDescent="0.25">
      <c r="A10" s="7">
        <v>1.2</v>
      </c>
      <c r="B10" s="8" t="s">
        <v>26</v>
      </c>
      <c r="C10" s="10" t="s">
        <v>54</v>
      </c>
      <c r="D10" s="7" t="s">
        <v>27</v>
      </c>
      <c r="E10" s="7" t="s">
        <v>23</v>
      </c>
      <c r="F10" s="7" t="s">
        <v>24</v>
      </c>
      <c r="G10" s="7" t="s">
        <v>25</v>
      </c>
      <c r="H10" s="9" t="s">
        <v>52</v>
      </c>
      <c r="I10" s="7"/>
      <c r="J10" s="8"/>
    </row>
    <row r="11" spans="1:10" ht="14.25" customHeight="1" x14ac:dyDescent="0.25">
      <c r="A11" s="6">
        <v>2</v>
      </c>
      <c r="B11" s="6" t="s">
        <v>28</v>
      </c>
      <c r="C11" s="6"/>
      <c r="D11" s="6"/>
      <c r="E11" s="6"/>
      <c r="F11" s="6"/>
      <c r="G11" s="6"/>
      <c r="H11" s="6"/>
      <c r="I11" s="6"/>
      <c r="J11" s="6"/>
    </row>
    <row r="12" spans="1:10" ht="195" x14ac:dyDescent="0.25">
      <c r="A12" s="7">
        <v>2.1</v>
      </c>
      <c r="B12" s="8" t="s">
        <v>29</v>
      </c>
      <c r="C12" s="10" t="s">
        <v>55</v>
      </c>
      <c r="D12" s="7" t="s">
        <v>30</v>
      </c>
      <c r="E12" s="7" t="s">
        <v>31</v>
      </c>
      <c r="F12" s="7" t="s">
        <v>24</v>
      </c>
      <c r="G12" s="7" t="s">
        <v>25</v>
      </c>
      <c r="H12" s="9" t="s">
        <v>52</v>
      </c>
      <c r="I12" s="7"/>
      <c r="J12" s="8"/>
    </row>
    <row r="13" spans="1:10" ht="133.5" customHeight="1" x14ac:dyDescent="0.25">
      <c r="A13" s="7">
        <v>2.2000000000000002</v>
      </c>
      <c r="B13" s="8" t="s">
        <v>32</v>
      </c>
      <c r="C13" s="10" t="s">
        <v>56</v>
      </c>
      <c r="D13" s="7" t="s">
        <v>33</v>
      </c>
      <c r="E13" s="7" t="s">
        <v>31</v>
      </c>
      <c r="F13" s="7" t="s">
        <v>24</v>
      </c>
      <c r="G13" s="7" t="s">
        <v>25</v>
      </c>
      <c r="H13" s="9" t="s">
        <v>52</v>
      </c>
      <c r="I13" s="7"/>
      <c r="J13" s="8"/>
    </row>
    <row r="14" spans="1:10" ht="105" x14ac:dyDescent="0.25">
      <c r="A14" s="7">
        <v>2.2999999999999998</v>
      </c>
      <c r="B14" s="8" t="s">
        <v>34</v>
      </c>
      <c r="C14" s="10" t="s">
        <v>57</v>
      </c>
      <c r="D14" s="7" t="s">
        <v>35</v>
      </c>
      <c r="E14" s="7" t="s">
        <v>23</v>
      </c>
      <c r="F14" s="7" t="s">
        <v>24</v>
      </c>
      <c r="G14" s="7" t="s">
        <v>25</v>
      </c>
      <c r="H14" s="9" t="s">
        <v>52</v>
      </c>
      <c r="I14" s="7"/>
      <c r="J14" s="8"/>
    </row>
    <row r="15" spans="1:10" ht="14.25" customHeight="1" x14ac:dyDescent="0.25">
      <c r="A15" s="6">
        <v>3</v>
      </c>
      <c r="B15" s="6" t="s">
        <v>36</v>
      </c>
      <c r="C15" s="6"/>
      <c r="D15" s="6"/>
      <c r="E15" s="6"/>
      <c r="F15" s="6"/>
      <c r="G15" s="6"/>
      <c r="H15" s="6"/>
      <c r="I15" s="6"/>
      <c r="J15" s="6"/>
    </row>
    <row r="16" spans="1:10" ht="135" x14ac:dyDescent="0.25">
      <c r="A16" s="7">
        <v>3.1</v>
      </c>
      <c r="B16" s="8" t="s">
        <v>37</v>
      </c>
      <c r="C16" s="10" t="s">
        <v>58</v>
      </c>
      <c r="D16" s="7" t="s">
        <v>38</v>
      </c>
      <c r="E16" s="7" t="s">
        <v>23</v>
      </c>
      <c r="F16" s="7" t="s">
        <v>24</v>
      </c>
      <c r="G16" s="7" t="s">
        <v>25</v>
      </c>
      <c r="H16" s="9" t="s">
        <v>52</v>
      </c>
      <c r="I16" s="7"/>
      <c r="J16" s="8"/>
    </row>
    <row r="17" spans="1:10" ht="270" x14ac:dyDescent="0.25">
      <c r="A17" s="7">
        <v>3.2</v>
      </c>
      <c r="B17" s="8" t="s">
        <v>39</v>
      </c>
      <c r="C17" s="10" t="s">
        <v>59</v>
      </c>
      <c r="D17" s="7" t="s">
        <v>40</v>
      </c>
      <c r="E17" s="7" t="s">
        <v>23</v>
      </c>
      <c r="F17" s="7" t="s">
        <v>24</v>
      </c>
      <c r="G17" s="7" t="s">
        <v>25</v>
      </c>
      <c r="H17" s="9" t="s">
        <v>52</v>
      </c>
      <c r="I17" s="7"/>
      <c r="J17" s="8"/>
    </row>
    <row r="18" spans="1:10" ht="14.25" customHeight="1" x14ac:dyDescent="0.25">
      <c r="A18" s="6">
        <v>4</v>
      </c>
      <c r="B18" s="6" t="s">
        <v>41</v>
      </c>
      <c r="C18" s="6"/>
      <c r="D18" s="6"/>
      <c r="E18" s="6"/>
      <c r="F18" s="6"/>
      <c r="G18" s="6"/>
      <c r="H18" s="6"/>
      <c r="I18" s="6"/>
      <c r="J18" s="6"/>
    </row>
    <row r="19" spans="1:10" ht="165" x14ac:dyDescent="0.25">
      <c r="A19" s="7">
        <v>4.0999999999999996</v>
      </c>
      <c r="B19" s="8" t="s">
        <v>42</v>
      </c>
      <c r="C19" s="10" t="s">
        <v>60</v>
      </c>
      <c r="D19" s="7" t="s">
        <v>43</v>
      </c>
      <c r="E19" s="7" t="s">
        <v>23</v>
      </c>
      <c r="F19" s="7" t="s">
        <v>24</v>
      </c>
      <c r="G19" s="7" t="s">
        <v>25</v>
      </c>
      <c r="H19" s="9" t="s">
        <v>52</v>
      </c>
      <c r="I19" s="7"/>
      <c r="J19" s="8"/>
    </row>
    <row r="20" spans="1:10" ht="14.25" customHeight="1" x14ac:dyDescent="0.25">
      <c r="A20" s="6">
        <v>5</v>
      </c>
      <c r="B20" s="6" t="s">
        <v>44</v>
      </c>
      <c r="C20" s="6"/>
      <c r="D20" s="6"/>
      <c r="E20" s="6"/>
      <c r="F20" s="6"/>
      <c r="G20" s="6"/>
      <c r="H20" s="6"/>
      <c r="I20" s="6"/>
      <c r="J20" s="6"/>
    </row>
    <row r="21" spans="1:10" ht="150" x14ac:dyDescent="0.25">
      <c r="A21" s="7">
        <v>5.0999999999999996</v>
      </c>
      <c r="B21" s="8" t="s">
        <v>45</v>
      </c>
      <c r="C21" s="10" t="s">
        <v>61</v>
      </c>
      <c r="D21" s="7" t="s">
        <v>46</v>
      </c>
      <c r="E21" s="7" t="s">
        <v>23</v>
      </c>
      <c r="F21" s="7" t="s">
        <v>24</v>
      </c>
      <c r="G21" s="7" t="s">
        <v>25</v>
      </c>
      <c r="H21" s="9" t="s">
        <v>52</v>
      </c>
      <c r="I21" s="7"/>
      <c r="J21" s="8"/>
    </row>
    <row r="22" spans="1:10" ht="14.25" customHeight="1" x14ac:dyDescent="0.25">
      <c r="A22" s="6">
        <v>6</v>
      </c>
      <c r="B22" s="6" t="s">
        <v>47</v>
      </c>
      <c r="C22" s="6"/>
      <c r="D22" s="6"/>
      <c r="E22" s="6"/>
      <c r="F22" s="6"/>
      <c r="G22" s="6"/>
      <c r="H22" s="6"/>
      <c r="I22" s="6"/>
      <c r="J22" s="6"/>
    </row>
    <row r="23" spans="1:10" ht="165" x14ac:dyDescent="0.25">
      <c r="A23" s="7">
        <v>6.1</v>
      </c>
      <c r="B23" s="8" t="s">
        <v>48</v>
      </c>
      <c r="C23" s="10" t="s">
        <v>62</v>
      </c>
      <c r="D23" s="7" t="s">
        <v>49</v>
      </c>
      <c r="E23" s="7" t="s">
        <v>50</v>
      </c>
      <c r="F23" s="7" t="s">
        <v>24</v>
      </c>
      <c r="G23" s="7" t="s">
        <v>25</v>
      </c>
      <c r="H23" s="9" t="s">
        <v>52</v>
      </c>
      <c r="I23" s="7"/>
      <c r="J23" s="8" t="s">
        <v>51</v>
      </c>
    </row>
    <row r="24" spans="1:10" ht="14.25" customHeight="1" x14ac:dyDescent="0.25"/>
    <row r="25" spans="1:10" ht="14.25" customHeight="1" x14ac:dyDescent="0.25"/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3">
    <mergeCell ref="E2:G2"/>
    <mergeCell ref="E3:G3"/>
    <mergeCell ref="E4:G4"/>
  </mergeCells>
  <conditionalFormatting sqref="H8:H200">
    <cfRule type="cellIs" dxfId="2" priority="2" operator="equal">
      <formula>"Passed"</formula>
    </cfRule>
    <cfRule type="cellIs" dxfId="1" priority="3" operator="equal">
      <formula>"Failed"</formula>
    </cfRule>
    <cfRule type="cellIs" dxfId="0" priority="4" operator="equal">
      <formula>"NY"</formula>
    </cfRule>
  </conditionalFormatting>
  <dataValidations count="1">
    <dataValidation type="list" allowBlank="1" showErrorMessage="1" errorTitle="Status" error="Use Passed, Failed or NY" sqref="H8:H200" xr:uid="{00000000-0002-0000-0000-000000000000}">
      <formula1>"Passed,Failed,NY"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HuyNguyen</dc:creator>
  <dc:description/>
  <cp:lastModifiedBy>vinh luong</cp:lastModifiedBy>
  <cp:revision>0</cp:revision>
  <dcterms:created xsi:type="dcterms:W3CDTF">2015-06-05T18:17:20Z</dcterms:created>
  <dcterms:modified xsi:type="dcterms:W3CDTF">2026-09-16T09:29:40Z</dcterms:modified>
  <dc:language>en-US</dc:language>
</cp:coreProperties>
</file>